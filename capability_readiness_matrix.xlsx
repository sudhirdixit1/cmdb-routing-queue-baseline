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000D6B6E"/>
      <sz val="16"/>
    </font>
    <font>
      <name val="Arial"/>
      <i val="1"/>
      <color rgb="0066747F"/>
      <sz val="11"/>
    </font>
    <font>
      <name val="Arial"/>
      <sz val="10"/>
    </font>
    <font>
      <name val="Arial"/>
      <b val="1"/>
      <sz val="12"/>
    </font>
    <font>
      <name val="Arial"/>
      <b val="1"/>
      <color rgb="000D6B6E"/>
      <sz val="10.5"/>
    </font>
    <font>
      <name val="Arial"/>
      <b val="1"/>
      <color rgb="00FFFFFF"/>
      <sz val="9"/>
    </font>
    <font>
      <name val="Arial"/>
      <sz val="9"/>
    </font>
    <font>
      <name val="Arial"/>
      <i val="1"/>
      <color rgb="003D4A54"/>
      <sz val="9.5"/>
    </font>
    <font>
      <name val="Arial"/>
      <b val="1"/>
      <sz val="9"/>
    </font>
    <font>
      <name val="Arial"/>
      <i val="1"/>
      <color rgb="003D4A54"/>
      <sz val="9"/>
    </font>
    <font>
      <name val="Arial"/>
      <b val="1"/>
      <sz val="14"/>
    </font>
    <font>
      <name val="Arial"/>
      <i val="1"/>
      <color rgb="0066747F"/>
      <sz val="9.5"/>
    </font>
    <font>
      <name val="Arial"/>
      <b val="1"/>
      <color rgb="000D6B6E"/>
      <sz val="11"/>
    </font>
  </fonts>
  <fills count="6">
    <fill>
      <patternFill/>
    </fill>
    <fill>
      <patternFill patternType="gray125"/>
    </fill>
    <fill>
      <patternFill patternType="solid">
        <fgColor rgb="000D6B6E"/>
      </patternFill>
    </fill>
    <fill>
      <patternFill patternType="solid">
        <fgColor rgb="00FFFF00"/>
      </patternFill>
    </fill>
    <fill>
      <patternFill patternType="solid">
        <fgColor rgb="00E2F0F0"/>
      </patternFill>
    </fill>
    <fill>
      <patternFill patternType="solid">
        <fgColor rgb="00E8EEF1"/>
      </patternFill>
    </fill>
  </fills>
  <borders count="2">
    <border>
      <left/>
      <right/>
      <top/>
      <bottom/>
      <diagonal/>
    </border>
    <border>
      <left style="thin">
        <color rgb="00BFC9CF"/>
      </left>
      <right style="thin">
        <color rgb="00BFC9CF"/>
      </right>
      <top style="thin">
        <color rgb="00BFC9CF"/>
      </top>
      <bottom style="thin">
        <color rgb="00BFC9C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9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164" fontId="7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5" borderId="0" pivotButton="0" quotePrefix="0" xfId="0"/>
    <xf numFmtId="0" fontId="0" fillId="5" borderId="0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14" customWidth="1" min="4" max="4"/>
    <col width="52" customWidth="1" min="5" max="5"/>
  </cols>
  <sheetData>
    <row r="1">
      <c r="A1" s="1" t="inlineStr">
        <is>
          <t>The Empty CMDB - capability readiness matrix</t>
        </is>
      </c>
    </row>
    <row r="2">
      <c r="A2" s="2" t="inlineStr">
        <is>
          <t>IAAI-27 submission - practitioner input required</t>
        </is>
      </c>
    </row>
    <row r="3" ht="42" customHeight="1">
      <c r="A3" s="3" t="inlineStr"/>
    </row>
    <row r="4">
      <c r="A4" s="4" t="inlineStr">
        <is>
          <t>What this is</t>
        </is>
      </c>
    </row>
    <row r="5" ht="42" customHeight="1">
      <c r="A5" s="3" t="inlineStr">
        <is>
          <t>Ten AIOps capability classes. Everything measurable from the three public ITSM instances is already filled in. Four columns need your professional judgement because they cannot be derived from data.</t>
        </is>
      </c>
    </row>
    <row r="6" ht="42" customHeight="1">
      <c r="A6" s="3" t="inlineStr"/>
    </row>
    <row r="7">
      <c r="A7" s="4" t="inlineStr">
        <is>
          <t>What you need to do</t>
        </is>
      </c>
    </row>
    <row r="8" ht="42" customHeight="1">
      <c r="A8" s="3" t="inlineStr">
        <is>
          <t>Open the 'Matrix' sheet and complete the four YELLOW columns (H, I, J, K) for each of the ten rows. Nothing else needs editing.</t>
        </is>
      </c>
    </row>
    <row r="9" ht="42" customHeight="1">
      <c r="A9" s="3" t="inlineStr"/>
    </row>
    <row r="10">
      <c r="A10" s="5" t="inlineStr">
        <is>
          <t>Column H - CSDM stage required</t>
        </is>
      </c>
    </row>
    <row r="11" ht="42" customHeight="1">
      <c r="A11" s="3" t="inlineStr">
        <is>
          <t>At which CSDM stage does the data this capability needs become reliably available in a real client environment? Pick from the dropdown: Foundation, Crawl, Walk, Run, Fly, or Never. If you disagree with my 'required data' entry in column B, say so in column K.</t>
        </is>
      </c>
    </row>
    <row r="12" ht="42" customHeight="1">
      <c r="A12" s="3" t="inlineStr"/>
    </row>
    <row r="13">
      <c r="A13" s="5" t="inlineStr">
        <is>
          <t>Column I - Typical CI population at that stage</t>
        </is>
      </c>
    </row>
    <row r="14" ht="42" customHeight="1">
      <c r="A14" s="3" t="inlineStr">
        <is>
          <t>In your experience, what percentage of incidents actually carry a populated configuration item at that CSDM stage? Enter a percentage. This is the single most valuable number you can give - the paper has a measured curve relating population rate to capability, but no way to anchor CSDM stages onto it. You are the anchor.</t>
        </is>
      </c>
    </row>
    <row r="15" ht="42" customHeight="1">
      <c r="A15" s="3" t="inlineStr"/>
    </row>
    <row r="16">
      <c r="A16" s="5" t="inlineStr">
        <is>
          <t>Column J - Client demand</t>
        </is>
      </c>
    </row>
    <row r="17" ht="42" customHeight="1">
      <c r="A17" s="3" t="inlineStr">
        <is>
          <t>How often do clients actually ask for this capability? High, Medium, or Low. This decides which capabilities the paper foregrounds.</t>
        </is>
      </c>
    </row>
    <row r="18" ht="42" customHeight="1">
      <c r="A18" s="3" t="inlineStr"/>
    </row>
    <row r="19">
      <c r="A19" s="5" t="inlineStr">
        <is>
          <t>Column K - Your verdict or correction</t>
        </is>
      </c>
    </row>
    <row r="20" ht="42" customHeight="1">
      <c r="A20" s="3" t="inlineStr">
        <is>
          <t>Free text. Correct my 'required data' if it is wrong, note caveats, or flag capabilities I have missed. Disagreement here is more useful than agreement.</t>
        </is>
      </c>
    </row>
    <row r="21" ht="42" customHeight="1">
      <c r="A21" s="3" t="inlineStr"/>
    </row>
    <row r="22">
      <c r="A22" s="4" t="inlineStr">
        <is>
          <t>What happens automatically</t>
        </is>
      </c>
    </row>
    <row r="23" ht="42" customHeight="1">
      <c r="A23" s="3" t="inlineStr">
        <is>
          <t>Column L is a formula. Once you enter a population rate in column I, it interpolates the modelled benefit retained from the measured degradation curve (Evidence sheet, rows 6-19). Do not edit column L.</t>
        </is>
      </c>
    </row>
    <row r="24" ht="42" customHeight="1">
      <c r="A24" s="3" t="inlineStr"/>
    </row>
    <row r="25">
      <c r="A25" s="4" t="inlineStr">
        <is>
          <t>Worked example - how a completed row should look</t>
        </is>
      </c>
    </row>
    <row r="26">
      <c r="A26" s="6" t="inlineStr">
        <is>
          <t>Capability</t>
        </is>
      </c>
      <c r="B26" s="6" t="inlineStr">
        <is>
          <t>CSDM stage (H)</t>
        </is>
      </c>
      <c r="C26" s="6" t="inlineStr">
        <is>
          <t>Typical CI pop. (I)</t>
        </is>
      </c>
      <c r="D26" s="6" t="inlineStr">
        <is>
          <t>Demand (J)</t>
        </is>
      </c>
      <c r="E26" s="6" t="inlineStr">
        <is>
          <t>Your verdict (K)</t>
        </is>
      </c>
    </row>
    <row r="27" ht="46" customHeight="1">
      <c r="A27" s="7" t="inlineStr">
        <is>
          <t>Misrouting risk prediction</t>
        </is>
      </c>
      <c r="B27" s="8" t="inlineStr">
        <is>
          <t>Walk</t>
        </is>
      </c>
      <c r="C27" s="9" t="n">
        <v>0.65</v>
      </c>
      <c r="D27" s="8" t="inlineStr">
        <is>
          <t>High</t>
        </is>
      </c>
      <c r="E27" s="8" t="inlineStr">
        <is>
          <t>Agree. Needs Application Service mapping done, not just CI class population - a CI with no service relationship still routes badly.</t>
        </is>
      </c>
    </row>
    <row r="29">
      <c r="A29" s="10" t="inlineStr">
        <is>
          <t>Legend:  YELLOW = you fill this in.   White = already derived from the data, leave alone.   Pale teal = calculated by formula, do not edit.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2" customWidth="1" min="4" max="4"/>
    <col width="13" customWidth="1" min="5" max="5"/>
    <col width="12" customWidth="1" min="6" max="6"/>
    <col width="30" customWidth="1" min="7" max="7"/>
    <col width="16" customWidth="1" min="8" max="8"/>
    <col width="16" customWidth="1" min="9" max="9"/>
    <col width="12" customWidth="1" min="10" max="10"/>
    <col width="40" customWidth="1" min="11" max="11"/>
    <col width="15" customWidth="1" min="12" max="12"/>
  </cols>
  <sheetData>
    <row r="1" ht="42" customHeight="1">
      <c r="A1" s="6" t="inlineStr">
        <is>
          <t>Capability</t>
        </is>
      </c>
      <c r="B1" s="6" t="inlineStr">
        <is>
          <t>Required data element(s)  [derived]</t>
        </is>
      </c>
      <c r="C1" s="6" t="inlineStr">
        <is>
          <t>Data axis</t>
        </is>
      </c>
      <c r="D1" s="6" t="inlineStr">
        <is>
          <t>VolvoIT</t>
        </is>
      </c>
      <c r="E1" s="6" t="inlineStr">
        <is>
          <t>ServiceNow-IT</t>
        </is>
      </c>
      <c r="F1" s="6" t="inlineStr">
        <is>
          <t>Rabobank</t>
        </is>
      </c>
      <c r="G1" s="6" t="inlineStr">
        <is>
          <t>Measured in this study</t>
        </is>
      </c>
      <c r="H1" s="6" t="inlineStr">
        <is>
          <t>CSDM stage required</t>
        </is>
      </c>
      <c r="I1" s="6" t="inlineStr">
        <is>
          <t>Typical CI population at that stage</t>
        </is>
      </c>
      <c r="J1" s="6" t="inlineStr">
        <is>
          <t>Client demand</t>
        </is>
      </c>
      <c r="K1" s="6" t="inlineStr">
        <is>
          <t>Your verdict / correction</t>
        </is>
      </c>
      <c r="L1" s="6" t="inlineStr">
        <is>
          <t>Modelled benefit retained</t>
        </is>
      </c>
    </row>
    <row r="2" ht="54" customHeight="1">
      <c r="A2" s="11" t="inlineStr">
        <is>
          <t>Misrouting risk prediction</t>
        </is>
      </c>
      <c r="B2" s="7" t="inlineStr">
        <is>
          <t>Component identity at creation (CI or equivalent intake field)</t>
        </is>
      </c>
      <c r="C2" s="7" t="inlineStr">
        <is>
          <t>identity</t>
        </is>
      </c>
      <c r="D2" s="7" t="inlineStr">
        <is>
          <t>product field (100%)</t>
        </is>
      </c>
      <c r="E2" s="7" t="inlineStr">
        <is>
          <t>cmdb_ci 0.2%</t>
        </is>
      </c>
      <c r="F2" s="7" t="inlineStr">
        <is>
          <t>CI Name 99.6%</t>
        </is>
      </c>
      <c r="G2" s="7" t="inlineStr">
        <is>
          <t>MEASURED. AUC 0.566 -&gt; 0.743 with CI (+0.176, CI [+0.166,+0.188])</t>
        </is>
      </c>
      <c r="H2" s="12" t="n"/>
      <c r="I2" s="13" t="n"/>
      <c r="J2" s="12" t="n"/>
      <c r="K2" s="12" t="n"/>
      <c r="L2" s="14">
        <f>IF(NOT(ISNUMBER(I2)),"",IF(I2&gt;=1,1,IF(I2&lt;=0,0,INDEX(Evidence!$C$6:$C$19,MATCH(I2,Evidence!$B$6:$B$19,1))+(I2-INDEX(Evidence!$B$6:$B$19,MATCH(I2,Evidence!$B$6:$B$19,1)))/(INDEX(Evidence!$B$6:$B$19,MATCH(I2,Evidence!$B$6:$B$19,1)+1)-INDEX(Evidence!$B$6:$B$19,MATCH(I2,Evidence!$B$6:$B$19,1)))*(INDEX(Evidence!$C$6:$C$19,MATCH(I2,Evidence!$B$6:$B$19,1)+1)-INDEX(Evidence!$C$6:$C$19,MATCH(I2,Evidence!$B$6:$B$19,1))))))</f>
        <v/>
      </c>
    </row>
    <row r="3" ht="54" customHeight="1">
      <c r="A3" s="11" t="inlineStr">
        <is>
          <t>Service-target breach prediction</t>
        </is>
      </c>
      <c r="B3" s="7" t="inlineStr">
        <is>
          <t>Component identity at creation</t>
        </is>
      </c>
      <c r="C3" s="7" t="inlineStr">
        <is>
          <t>identity</t>
        </is>
      </c>
      <c r="D3" s="7" t="inlineStr">
        <is>
          <t>not tested</t>
        </is>
      </c>
      <c r="E3" s="7" t="inlineStr">
        <is>
          <t>cmdb_ci 0.2%</t>
        </is>
      </c>
      <c r="F3" s="7" t="inlineStr">
        <is>
          <t>CI Name 99.6%</t>
        </is>
      </c>
      <c r="G3" s="7" t="inlineStr">
        <is>
          <t>MEASURED. Rabobank 0.653 -&gt; 0.761 (+0.108). ServiceNow +0.002</t>
        </is>
      </c>
      <c r="H3" s="12" t="n"/>
      <c r="I3" s="13" t="n"/>
      <c r="J3" s="12" t="n"/>
      <c r="K3" s="12" t="n"/>
      <c r="L3" s="14">
        <f>IF(NOT(ISNUMBER(I3)),"",IF(I3&gt;=1,1,IF(I3&lt;=0,0,INDEX(Evidence!$C$6:$C$19,MATCH(I3,Evidence!$B$6:$B$19,1))+(I3-INDEX(Evidence!$B$6:$B$19,MATCH(I3,Evidence!$B$6:$B$19,1)))/(INDEX(Evidence!$B$6:$B$19,MATCH(I3,Evidence!$B$6:$B$19,1)+1)-INDEX(Evidence!$B$6:$B$19,MATCH(I3,Evidence!$B$6:$B$19,1)))*(INDEX(Evidence!$C$6:$C$19,MATCH(I3,Evidence!$B$6:$B$19,1)+1)-INDEX(Evidence!$C$6:$C$19,MATCH(I3,Evidence!$B$6:$B$19,1))))))</f>
        <v/>
      </c>
    </row>
    <row r="4" ht="54" customHeight="1">
      <c r="A4" s="11" t="inlineStr">
        <is>
          <t>Automated assignment / routing</t>
        </is>
      </c>
      <c r="B4" s="7" t="inlineStr">
        <is>
          <t>Component identity + historical routing outcomes per component</t>
        </is>
      </c>
      <c r="C4" s="7" t="inlineStr">
        <is>
          <t>identity</t>
        </is>
      </c>
      <c r="D4" s="7" t="inlineStr">
        <is>
          <t>product + org:group</t>
        </is>
      </c>
      <c r="E4" s="7" t="inlineStr">
        <is>
          <t>cmdb_ci 0.2%</t>
        </is>
      </c>
      <c r="F4" s="7" t="inlineStr">
        <is>
          <t>CI Name + WBS</t>
        </is>
      </c>
      <c r="G4" s="7" t="inlineStr">
        <is>
          <t>Not directly measured; same input as misrouting prediction</t>
        </is>
      </c>
      <c r="H4" s="12" t="n"/>
      <c r="I4" s="13" t="n"/>
      <c r="J4" s="12" t="n"/>
      <c r="K4" s="12" t="n"/>
      <c r="L4" s="14">
        <f>IF(NOT(ISNUMBER(I4)),"",IF(I4&gt;=1,1,IF(I4&lt;=0,0,INDEX(Evidence!$C$6:$C$19,MATCH(I4,Evidence!$B$6:$B$19,1))+(I4-INDEX(Evidence!$B$6:$B$19,MATCH(I4,Evidence!$B$6:$B$19,1)))/(INDEX(Evidence!$B$6:$B$19,MATCH(I4,Evidence!$B$6:$B$19,1)+1)-INDEX(Evidence!$B$6:$B$19,MATCH(I4,Evidence!$B$6:$B$19,1)))*(INDEX(Evidence!$C$6:$C$19,MATCH(I4,Evidence!$B$6:$B$19,1)+1)-INDEX(Evidence!$C$6:$C$19,MATCH(I4,Evidence!$B$6:$B$19,1))))))</f>
        <v/>
      </c>
    </row>
    <row r="5" ht="54" customHeight="1">
      <c r="A5" s="11" t="inlineStr">
        <is>
          <t>Priority / impact auto-classification</t>
        </is>
      </c>
      <c r="B5" s="7" t="inlineStr">
        <is>
          <t>Intake fields only (category, impact, urgency)</t>
        </is>
      </c>
      <c r="C5" s="7" t="inlineStr">
        <is>
          <t>intake</t>
        </is>
      </c>
      <c r="D5" s="7" t="inlineStr">
        <is>
          <t>available</t>
        </is>
      </c>
      <c r="E5" s="7" t="inlineStr">
        <is>
          <t>available</t>
        </is>
      </c>
      <c r="F5" s="7" t="inlineStr">
        <is>
          <t>available</t>
        </is>
      </c>
      <c r="G5" s="7" t="inlineStr">
        <is>
          <t>Intake fields are ~100% populated in all three instances</t>
        </is>
      </c>
      <c r="H5" s="12" t="n"/>
      <c r="I5" s="13" t="n"/>
      <c r="J5" s="12" t="n"/>
      <c r="K5" s="12" t="n"/>
      <c r="L5" s="14">
        <f>IF(NOT(ISNUMBER(I5)),"",IF(I5&gt;=1,1,IF(I5&lt;=0,0,INDEX(Evidence!$C$6:$C$19,MATCH(I5,Evidence!$B$6:$B$19,1))+(I5-INDEX(Evidence!$B$6:$B$19,MATCH(I5,Evidence!$B$6:$B$19,1)))/(INDEX(Evidence!$B$6:$B$19,MATCH(I5,Evidence!$B$6:$B$19,1)+1)-INDEX(Evidence!$B$6:$B$19,MATCH(I5,Evidence!$B$6:$B$19,1)))*(INDEX(Evidence!$C$6:$C$19,MATCH(I5,Evidence!$B$6:$B$19,1)+1)-INDEX(Evidence!$C$6:$C$19,MATCH(I5,Evidence!$B$6:$B$19,1))))))</f>
        <v/>
      </c>
    </row>
    <row r="6" ht="54" customHeight="1">
      <c r="A6" s="11" t="inlineStr">
        <is>
          <t>Knowledge article recommendation</t>
        </is>
      </c>
      <c r="B6" s="7" t="inlineStr">
        <is>
          <t>Knowledge reference + symptom or category</t>
        </is>
      </c>
      <c r="C6" s="7" t="inlineStr">
        <is>
          <t>linkage</t>
        </is>
      </c>
      <c r="D6" s="7" t="inlineStr">
        <is>
          <t>absent</t>
        </is>
      </c>
      <c r="E6" s="7" t="inlineStr">
        <is>
          <t>knowledge flag only</t>
        </is>
      </c>
      <c r="F6" s="7" t="inlineStr">
        <is>
          <t>KM number 99.6%</t>
        </is>
      </c>
      <c r="G6" s="7" t="inlineStr">
        <is>
          <t>Not measured. Link present only in Rabobank</t>
        </is>
      </c>
      <c r="H6" s="12" t="n"/>
      <c r="I6" s="13" t="n"/>
      <c r="J6" s="12" t="n"/>
      <c r="K6" s="12" t="n"/>
      <c r="L6" s="14">
        <f>IF(NOT(ISNUMBER(I6)),"",IF(I6&gt;=1,1,IF(I6&lt;=0,0,INDEX(Evidence!$C$6:$C$19,MATCH(I6,Evidence!$B$6:$B$19,1))+(I6-INDEX(Evidence!$B$6:$B$19,MATCH(I6,Evidence!$B$6:$B$19,1)))/(INDEX(Evidence!$B$6:$B$19,MATCH(I6,Evidence!$B$6:$B$19,1)+1)-INDEX(Evidence!$B$6:$B$19,MATCH(I6,Evidence!$B$6:$B$19,1)))*(INDEX(Evidence!$C$6:$C$19,MATCH(I6,Evidence!$B$6:$B$19,1)+1)-INDEX(Evidence!$C$6:$C$19,MATCH(I6,Evidence!$B$6:$B$19,1))))))</f>
        <v/>
      </c>
    </row>
    <row r="7" ht="54" customHeight="1">
      <c r="A7" s="11" t="inlineStr">
        <is>
          <t>Problem clustering / recurring incident detection</t>
        </is>
      </c>
      <c r="B7" s="7" t="inlineStr">
        <is>
          <t>Incident to problem reference</t>
        </is>
      </c>
      <c r="C7" s="7" t="inlineStr">
        <is>
          <t>linkage</t>
        </is>
      </c>
      <c r="D7" s="7" t="inlineStr">
        <is>
          <t>absent</t>
        </is>
      </c>
      <c r="E7" s="7" t="inlineStr">
        <is>
          <t>problem_id 1.5%</t>
        </is>
      </c>
      <c r="F7" s="7" t="inlineStr">
        <is>
          <t># Related Incidents 2.6%</t>
        </is>
      </c>
      <c r="G7" s="7" t="inlineStr">
        <is>
          <t>Not measurable in any instance</t>
        </is>
      </c>
      <c r="H7" s="12" t="n"/>
      <c r="I7" s="13" t="n"/>
      <c r="J7" s="12" t="n"/>
      <c r="K7" s="12" t="n"/>
      <c r="L7" s="14">
        <f>IF(NOT(ISNUMBER(I7)),"",IF(I7&gt;=1,1,IF(I7&lt;=0,0,INDEX(Evidence!$C$6:$C$19,MATCH(I7,Evidence!$B$6:$B$19,1))+(I7-INDEX(Evidence!$B$6:$B$19,MATCH(I7,Evidence!$B$6:$B$19,1)))/(INDEX(Evidence!$B$6:$B$19,MATCH(I7,Evidence!$B$6:$B$19,1)+1)-INDEX(Evidence!$B$6:$B$19,MATCH(I7,Evidence!$B$6:$B$19,1)))*(INDEX(Evidence!$C$6:$C$19,MATCH(I7,Evidence!$B$6:$B$19,1)+1)-INDEX(Evidence!$C$6:$C$19,MATCH(I7,Evidence!$B$6:$B$19,1))))))</f>
        <v/>
      </c>
    </row>
    <row r="8" ht="54" customHeight="1">
      <c r="A8" s="11" t="inlineStr">
        <is>
          <t>Change-incident correlation</t>
        </is>
      </c>
      <c r="B8" s="7" t="inlineStr">
        <is>
          <t>Incident to change reference</t>
        </is>
      </c>
      <c r="C8" s="7" t="inlineStr">
        <is>
          <t>linkage</t>
        </is>
      </c>
      <c r="D8" s="7" t="inlineStr">
        <is>
          <t>absent</t>
        </is>
      </c>
      <c r="E8" s="7" t="inlineStr">
        <is>
          <t>rfc 0.7%</t>
        </is>
      </c>
      <c r="F8" s="7" t="inlineStr">
        <is>
          <t>Related Change 1.2%</t>
        </is>
      </c>
      <c r="G8" s="7" t="inlineStr">
        <is>
          <t>Unavailable even at 99.6% CI maturity. 30,275 change records exist in the same export but are not linked</t>
        </is>
      </c>
      <c r="H8" s="12" t="n"/>
      <c r="I8" s="13" t="n"/>
      <c r="J8" s="12" t="n"/>
      <c r="K8" s="12" t="n"/>
      <c r="L8" s="14">
        <f>IF(NOT(ISNUMBER(I8)),"",IF(I8&gt;=1,1,IF(I8&lt;=0,0,INDEX(Evidence!$C$6:$C$19,MATCH(I8,Evidence!$B$6:$B$19,1))+(I8-INDEX(Evidence!$B$6:$B$19,MATCH(I8,Evidence!$B$6:$B$19,1)))/(INDEX(Evidence!$B$6:$B$19,MATCH(I8,Evidence!$B$6:$B$19,1)+1)-INDEX(Evidence!$B$6:$B$19,MATCH(I8,Evidence!$B$6:$B$19,1)))*(INDEX(Evidence!$C$6:$C$19,MATCH(I8,Evidence!$B$6:$B$19,1)+1)-INDEX(Evidence!$C$6:$C$19,MATCH(I8,Evidence!$B$6:$B$19,1))))))</f>
        <v/>
      </c>
    </row>
    <row r="9" ht="54" customHeight="1">
      <c r="A9" s="11" t="inlineStr">
        <is>
          <t>CI-topology root cause analysis</t>
        </is>
      </c>
      <c r="B9" s="7" t="inlineStr">
        <is>
          <t>CI to CI dependency graph</t>
        </is>
      </c>
      <c r="C9" s="7" t="inlineStr">
        <is>
          <t>topology</t>
        </is>
      </c>
      <c r="D9" s="7" t="inlineStr">
        <is>
          <t>absent</t>
        </is>
      </c>
      <c r="E9" s="7" t="inlineStr">
        <is>
          <t>absent</t>
        </is>
      </c>
      <c r="F9" s="7" t="inlineStr">
        <is>
          <t>absent</t>
        </is>
      </c>
      <c r="G9" s="7" t="inlineStr">
        <is>
          <t>NO dependency edges in any of the three exports. Identity and classification are present; topology is not</t>
        </is>
      </c>
      <c r="H9" s="12" t="n"/>
      <c r="I9" s="13" t="n"/>
      <c r="J9" s="12" t="n"/>
      <c r="K9" s="12" t="n"/>
      <c r="L9" s="14">
        <f>IF(NOT(ISNUMBER(I9)),"",IF(I9&gt;=1,1,IF(I9&lt;=0,0,INDEX(Evidence!$C$6:$C$19,MATCH(I9,Evidence!$B$6:$B$19,1))+(I9-INDEX(Evidence!$B$6:$B$19,MATCH(I9,Evidence!$B$6:$B$19,1)))/(INDEX(Evidence!$B$6:$B$19,MATCH(I9,Evidence!$B$6:$B$19,1)+1)-INDEX(Evidence!$B$6:$B$19,MATCH(I9,Evidence!$B$6:$B$19,1)))*(INDEX(Evidence!$C$6:$C$19,MATCH(I9,Evidence!$B$6:$B$19,1)+1)-INDEX(Evidence!$C$6:$C$19,MATCH(I9,Evidence!$B$6:$B$19,1))))))</f>
        <v/>
      </c>
    </row>
    <row r="10" ht="54" customHeight="1">
      <c r="A10" s="11" t="inlineStr">
        <is>
          <t>Blast-radius / impact estimation</t>
        </is>
      </c>
      <c r="B10" s="7" t="inlineStr">
        <is>
          <t>CI topology + change reference</t>
        </is>
      </c>
      <c r="C10" s="7" t="inlineStr">
        <is>
          <t>topology</t>
        </is>
      </c>
      <c r="D10" s="7" t="inlineStr">
        <is>
          <t>absent</t>
        </is>
      </c>
      <c r="E10" s="7" t="inlineStr">
        <is>
          <t>absent</t>
        </is>
      </c>
      <c r="F10" s="7" t="inlineStr">
        <is>
          <t>absent</t>
        </is>
      </c>
      <c r="G10" s="7" t="inlineStr">
        <is>
          <t>Requires both missing axes simultaneously</t>
        </is>
      </c>
      <c r="H10" s="12" t="n"/>
      <c r="I10" s="13" t="n"/>
      <c r="J10" s="12" t="n"/>
      <c r="K10" s="12" t="n"/>
      <c r="L10" s="14">
        <f>IF(NOT(ISNUMBER(I10)),"",IF(I10&gt;=1,1,IF(I10&lt;=0,0,INDEX(Evidence!$C$6:$C$19,MATCH(I10,Evidence!$B$6:$B$19,1))+(I10-INDEX(Evidence!$B$6:$B$19,MATCH(I10,Evidence!$B$6:$B$19,1)))/(INDEX(Evidence!$B$6:$B$19,MATCH(I10,Evidence!$B$6:$B$19,1)+1)-INDEX(Evidence!$B$6:$B$19,MATCH(I10,Evidence!$B$6:$B$19,1)))*(INDEX(Evidence!$C$6:$C$19,MATCH(I10,Evidence!$B$6:$B$19,1)+1)-INDEX(Evidence!$C$6:$C$19,MATCH(I10,Evidence!$B$6:$B$19,1))))))</f>
        <v/>
      </c>
    </row>
    <row r="11" ht="54" customHeight="1">
      <c r="A11" s="11" t="inlineStr">
        <is>
          <t>Causal chain reconstruction</t>
        </is>
      </c>
      <c r="B11" s="7" t="inlineStr">
        <is>
          <t>Causing-incident reference</t>
        </is>
      </c>
      <c r="C11" s="7" t="inlineStr">
        <is>
          <t>linkage</t>
        </is>
      </c>
      <c r="D11" s="7" t="inlineStr">
        <is>
          <t>absent</t>
        </is>
      </c>
      <c r="E11" s="7" t="inlineStr">
        <is>
          <t>caused_by 0.0%</t>
        </is>
      </c>
      <c r="F11" s="7" t="inlineStr">
        <is>
          <t>absent</t>
        </is>
      </c>
      <c r="G11" s="7" t="inlineStr">
        <is>
          <t>Field exists in ServiceNow schema and is never populated</t>
        </is>
      </c>
      <c r="H11" s="12" t="n"/>
      <c r="I11" s="13" t="n"/>
      <c r="J11" s="12" t="n"/>
      <c r="K11" s="12" t="n"/>
      <c r="L11" s="14">
        <f>IF(NOT(ISNUMBER(I11)),"",IF(I11&gt;=1,1,IF(I11&lt;=0,0,INDEX(Evidence!$C$6:$C$19,MATCH(I11,Evidence!$B$6:$B$19,1))+(I11-INDEX(Evidence!$B$6:$B$19,MATCH(I11,Evidence!$B$6:$B$19,1)))/(INDEX(Evidence!$B$6:$B$19,MATCH(I11,Evidence!$B$6:$B$19,1)+1)-INDEX(Evidence!$B$6:$B$19,MATCH(I11,Evidence!$B$6:$B$19,1)))*(INDEX(Evidence!$C$6:$C$19,MATCH(I11,Evidence!$B$6:$B$19,1)+1)-INDEX(Evidence!$C$6:$C$19,MATCH(I11,Evidence!$B$6:$B$19,1))))))</f>
        <v/>
      </c>
    </row>
    <row r="13">
      <c r="A13" s="15" t="inlineStr">
        <is>
          <t>YELLOW columns (H-K) need your input. Column L calculates itself from column I. Everything else is measured - see the Evidence sheet.</t>
        </is>
      </c>
    </row>
  </sheetData>
  <dataValidations count="2">
    <dataValidation sqref="H2:H11" showDropDown="0" showInputMessage="0" showErrorMessage="0" allowBlank="1" type="list">
      <formula1>"Foundation,Crawl,Walk,Run,Fly,Never"</formula1>
    </dataValidation>
    <dataValidation sqref="J2:J1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8" customWidth="1" min="4" max="4"/>
    <col width="22" customWidth="1" min="5" max="5"/>
    <col width="20" customWidth="1" min="6" max="6"/>
  </cols>
  <sheetData>
    <row r="1">
      <c r="A1" s="16" t="inlineStr">
        <is>
          <t>Measured evidence</t>
        </is>
      </c>
    </row>
    <row r="2">
      <c r="A2" s="17" t="inlineStr">
        <is>
          <t>79,281 incidents - 3 organisations - 3 platforms - all public data. Generated by scripts/e1..e8. Do not edit.</t>
        </is>
      </c>
    </row>
    <row r="4">
      <c r="A4" s="18" t="inlineStr">
        <is>
          <t>Degradation curve - Rabobank CI fields blanked in silico (drives column L)</t>
        </is>
      </c>
      <c r="B4" s="19" t="n"/>
      <c r="C4" s="19" t="n"/>
      <c r="D4" s="19" t="n"/>
      <c r="E4" s="19" t="n"/>
      <c r="F4" s="19" t="n"/>
    </row>
    <row r="5">
      <c r="A5" s="6" t="inlineStr">
        <is>
          <t>level</t>
        </is>
      </c>
      <c r="B5" s="6" t="inlineStr">
        <is>
          <t>CI population rate</t>
        </is>
      </c>
      <c r="C5" s="6" t="inlineStr">
        <is>
          <t>benefit retained</t>
        </is>
      </c>
      <c r="D5" s="6" t="inlineStr"/>
      <c r="E5" s="6" t="inlineStr"/>
      <c r="F5" s="6" t="inlineStr"/>
    </row>
    <row r="6">
      <c r="A6" s="20" t="inlineStr">
        <is>
          <t>L01</t>
        </is>
      </c>
      <c r="B6" s="21" t="n">
        <v>0</v>
      </c>
      <c r="C6" s="21" t="n">
        <v>0</v>
      </c>
      <c r="D6" s="20" t="inlineStr"/>
      <c r="E6" s="20" t="inlineStr"/>
      <c r="F6" s="20" t="inlineStr"/>
    </row>
    <row r="7">
      <c r="A7" s="20" t="inlineStr">
        <is>
          <t>L02</t>
        </is>
      </c>
      <c r="B7" s="21" t="n">
        <v>0.002</v>
      </c>
      <c r="C7" s="21" t="n">
        <v>0</v>
      </c>
      <c r="D7" s="20" t="inlineStr"/>
      <c r="E7" s="20" t="inlineStr"/>
      <c r="F7" s="20" t="inlineStr"/>
    </row>
    <row r="8">
      <c r="A8" s="20" t="inlineStr">
        <is>
          <t>L03</t>
        </is>
      </c>
      <c r="B8" s="21" t="n">
        <v>0.01</v>
      </c>
      <c r="C8" s="21" t="n">
        <v>0.003</v>
      </c>
      <c r="D8" s="20" t="inlineStr"/>
      <c r="E8" s="20" t="inlineStr"/>
      <c r="F8" s="20" t="inlineStr"/>
    </row>
    <row r="9">
      <c r="A9" s="20" t="inlineStr">
        <is>
          <t>L04</t>
        </is>
      </c>
      <c r="B9" s="21" t="n">
        <v>0.02</v>
      </c>
      <c r="C9" s="21" t="n">
        <v>0.017</v>
      </c>
      <c r="D9" s="20" t="inlineStr"/>
      <c r="E9" s="20" t="inlineStr"/>
      <c r="F9" s="20" t="inlineStr"/>
    </row>
    <row r="10">
      <c r="A10" s="20" t="inlineStr">
        <is>
          <t>L05</t>
        </is>
      </c>
      <c r="B10" s="21" t="n">
        <v>0.05</v>
      </c>
      <c r="C10" s="21" t="n">
        <v>0.04</v>
      </c>
      <c r="D10" s="20" t="inlineStr"/>
      <c r="E10" s="20" t="inlineStr"/>
      <c r="F10" s="20" t="inlineStr"/>
    </row>
    <row r="11">
      <c r="A11" s="20" t="inlineStr">
        <is>
          <t>L06</t>
        </is>
      </c>
      <c r="B11" s="21" t="n">
        <v>0.1</v>
      </c>
      <c r="C11" s="21" t="n">
        <v>0.089</v>
      </c>
      <c r="D11" s="20" t="inlineStr"/>
      <c r="E11" s="20" t="inlineStr"/>
      <c r="F11" s="20" t="inlineStr"/>
    </row>
    <row r="12">
      <c r="A12" s="20" t="inlineStr">
        <is>
          <t>L07</t>
        </is>
      </c>
      <c r="B12" s="21" t="n">
        <v>0.2</v>
      </c>
      <c r="C12" s="21" t="n">
        <v>0.215</v>
      </c>
      <c r="D12" s="20" t="inlineStr"/>
      <c r="E12" s="20" t="inlineStr"/>
      <c r="F12" s="20" t="inlineStr"/>
    </row>
    <row r="13">
      <c r="A13" s="20" t="inlineStr">
        <is>
          <t>L08</t>
        </is>
      </c>
      <c r="B13" s="21" t="n">
        <v>0.3</v>
      </c>
      <c r="C13" s="21" t="n">
        <v>0.33</v>
      </c>
      <c r="D13" s="20" t="inlineStr"/>
      <c r="E13" s="20" t="inlineStr"/>
      <c r="F13" s="20" t="inlineStr"/>
    </row>
    <row r="14">
      <c r="A14" s="20" t="inlineStr">
        <is>
          <t>L09</t>
        </is>
      </c>
      <c r="B14" s="21" t="n">
        <v>0.4</v>
      </c>
      <c r="C14" s="21" t="n">
        <v>0.449</v>
      </c>
      <c r="D14" s="20" t="inlineStr"/>
      <c r="E14" s="20" t="inlineStr"/>
      <c r="F14" s="20" t="inlineStr"/>
    </row>
    <row r="15">
      <c r="A15" s="20" t="inlineStr">
        <is>
          <t>L10</t>
        </is>
      </c>
      <c r="B15" s="21" t="n">
        <v>0.5</v>
      </c>
      <c r="C15" s="21" t="n">
        <v>0.5600000000000001</v>
      </c>
      <c r="D15" s="20" t="inlineStr"/>
      <c r="E15" s="20" t="inlineStr"/>
      <c r="F15" s="20" t="inlineStr"/>
    </row>
    <row r="16">
      <c r="A16" s="20" t="inlineStr">
        <is>
          <t>L11</t>
        </is>
      </c>
      <c r="B16" s="21" t="n">
        <v>0.6</v>
      </c>
      <c r="C16" s="21" t="n">
        <v>0.669</v>
      </c>
      <c r="D16" s="20" t="inlineStr"/>
      <c r="E16" s="20" t="inlineStr"/>
      <c r="F16" s="20" t="inlineStr"/>
    </row>
    <row r="17">
      <c r="A17" s="20" t="inlineStr">
        <is>
          <t>L12</t>
        </is>
      </c>
      <c r="B17" s="21" t="n">
        <v>0.75</v>
      </c>
      <c r="C17" s="21" t="n">
        <v>0.8129999999999999</v>
      </c>
      <c r="D17" s="20" t="inlineStr"/>
      <c r="E17" s="20" t="inlineStr"/>
      <c r="F17" s="20" t="inlineStr"/>
    </row>
    <row r="18">
      <c r="A18" s="20" t="inlineStr">
        <is>
          <t>L13</t>
        </is>
      </c>
      <c r="B18" s="21" t="n">
        <v>0.9</v>
      </c>
      <c r="C18" s="21" t="n">
        <v>0.9379999999999999</v>
      </c>
      <c r="D18" s="20" t="inlineStr"/>
      <c r="E18" s="20" t="inlineStr"/>
      <c r="F18" s="20" t="inlineStr"/>
    </row>
    <row r="19">
      <c r="A19" s="20" t="inlineStr">
        <is>
          <t>L14</t>
        </is>
      </c>
      <c r="B19" s="21" t="n">
        <v>1</v>
      </c>
      <c r="C19" s="21" t="n">
        <v>1</v>
      </c>
      <c r="D19" s="20" t="inlineStr"/>
      <c r="E19" s="20" t="inlineStr"/>
      <c r="F19" s="20" t="inlineStr"/>
    </row>
    <row r="21">
      <c r="A21" s="18" t="inlineStr">
        <is>
          <t>Field population by semantic class (E1)</t>
        </is>
      </c>
      <c r="B21" s="19" t="n"/>
      <c r="C21" s="19" t="n"/>
      <c r="D21" s="19" t="n"/>
      <c r="E21" s="19" t="n"/>
      <c r="F21" s="19" t="n"/>
    </row>
    <row r="22">
      <c r="A22" s="6" t="inlineStr">
        <is>
          <t>field class</t>
        </is>
      </c>
      <c r="B22" s="6" t="inlineStr">
        <is>
          <t>VolvoIT</t>
        </is>
      </c>
      <c r="C22" s="6" t="inlineStr">
        <is>
          <t>ServiceNow-IT</t>
        </is>
      </c>
      <c r="D22" s="6" t="inlineStr">
        <is>
          <t>Rabobank</t>
        </is>
      </c>
      <c r="E22" s="6" t="inlineStr"/>
      <c r="F22" s="6" t="inlineStr"/>
    </row>
    <row r="23">
      <c r="A23" s="20" t="inlineStr">
        <is>
          <t>intake</t>
        </is>
      </c>
      <c r="B23" s="21" t="n">
        <v>1</v>
      </c>
      <c r="C23" s="21" t="n">
        <v>0.997</v>
      </c>
      <c r="D23" s="21" t="n">
        <v>0.996</v>
      </c>
      <c r="E23" s="20" t="inlineStr"/>
      <c r="F23" s="20" t="inlineStr"/>
    </row>
    <row r="24">
      <c r="A24" s="20" t="inlineStr">
        <is>
          <t>descriptive</t>
        </is>
      </c>
      <c r="B24" s="21" t="n">
        <v>1</v>
      </c>
      <c r="C24" s="21" t="n">
        <v>0.9409999999999999</v>
      </c>
      <c r="D24" s="21" t="n">
        <v>0.996</v>
      </c>
      <c r="E24" s="20" t="inlineStr"/>
      <c r="F24" s="20" t="inlineStr"/>
    </row>
    <row r="25">
      <c r="A25" s="20" t="inlineStr">
        <is>
          <t>workflow</t>
        </is>
      </c>
      <c r="B25" s="21" t="n">
        <v>0.968</v>
      </c>
      <c r="C25" s="21" t="n">
        <v>0.971</v>
      </c>
      <c r="D25" s="21" t="n">
        <v>0.996</v>
      </c>
      <c r="E25" s="20" t="inlineStr"/>
      <c r="F25" s="20" t="inlineStr"/>
    </row>
    <row r="26">
      <c r="A26" s="20" t="inlineStr">
        <is>
          <t>outcome</t>
        </is>
      </c>
      <c r="B26" s="21" t="n">
        <v>1</v>
      </c>
      <c r="C26" s="21" t="n">
        <v>0.998</v>
      </c>
      <c r="D26" s="21" t="n">
        <v>0.981</v>
      </c>
      <c r="E26" s="20" t="inlineStr"/>
      <c r="F26" s="20" t="inlineStr"/>
    </row>
    <row r="27">
      <c r="A27" s="20" t="inlineStr">
        <is>
          <t>configuration</t>
        </is>
      </c>
      <c r="B27" s="21" t="inlineStr">
        <is>
          <t>absent</t>
        </is>
      </c>
      <c r="C27" s="21" t="n">
        <v>0.002</v>
      </c>
      <c r="D27" s="21" t="n">
        <v>0.996</v>
      </c>
      <c r="E27" s="20" t="inlineStr"/>
      <c r="F27" s="20" t="inlineStr"/>
    </row>
    <row r="28">
      <c r="A28" s="20" t="inlineStr">
        <is>
          <t>relational</t>
        </is>
      </c>
      <c r="B28" s="21" t="inlineStr">
        <is>
          <t>absent</t>
        </is>
      </c>
      <c r="C28" s="21" t="n">
        <v>0.006</v>
      </c>
      <c r="D28" s="21" t="n">
        <v>0.498</v>
      </c>
      <c r="E28" s="20" t="inlineStr"/>
      <c r="F28" s="20" t="inlineStr"/>
    </row>
    <row r="30">
      <c r="A30" s="18" t="inlineStr">
        <is>
          <t>Misrouting prediction, creation-time features, temporal split (E2)</t>
        </is>
      </c>
      <c r="B30" s="19" t="n"/>
      <c r="C30" s="19" t="n"/>
      <c r="D30" s="19" t="n"/>
      <c r="E30" s="19" t="n"/>
      <c r="F30" s="19" t="n"/>
    </row>
    <row r="31">
      <c r="A31" s="6" t="inlineStr">
        <is>
          <t>organisation</t>
        </is>
      </c>
      <c r="B31" s="6" t="inlineStr">
        <is>
          <t>intake</t>
        </is>
      </c>
      <c r="C31" s="6" t="inlineStr">
        <is>
          <t>config-only</t>
        </is>
      </c>
      <c r="D31" s="6" t="inlineStr">
        <is>
          <t>intake+config</t>
        </is>
      </c>
      <c r="E31" s="6" t="inlineStr">
        <is>
          <t>delta</t>
        </is>
      </c>
      <c r="F31" s="6" t="inlineStr">
        <is>
          <t>95% CI</t>
        </is>
      </c>
    </row>
    <row r="32">
      <c r="A32" s="20" t="inlineStr">
        <is>
          <t>ServiceNow-IT</t>
        </is>
      </c>
      <c r="B32" s="22" t="n">
        <v>0.699</v>
      </c>
      <c r="C32" s="22" t="n">
        <v>0.5</v>
      </c>
      <c r="D32" s="22" t="n">
        <v>0.699</v>
      </c>
      <c r="E32" s="20" t="inlineStr">
        <is>
          <t>-0.000</t>
        </is>
      </c>
      <c r="F32" s="20" t="inlineStr">
        <is>
          <t>[-0.002,+0.002]</t>
        </is>
      </c>
    </row>
    <row r="33">
      <c r="A33" s="20" t="inlineStr">
        <is>
          <t>VolvoIT</t>
        </is>
      </c>
      <c r="B33" s="22" t="n">
        <v>0.868</v>
      </c>
      <c r="C33" s="22" t="inlineStr">
        <is>
          <t>-</t>
        </is>
      </c>
      <c r="D33" s="22" t="inlineStr">
        <is>
          <t>-</t>
        </is>
      </c>
      <c r="E33" s="20" t="inlineStr">
        <is>
          <t>n/a</t>
        </is>
      </c>
      <c r="F33" s="20" t="inlineStr">
        <is>
          <t>no CMDB captured</t>
        </is>
      </c>
    </row>
    <row r="34">
      <c r="A34" s="20" t="inlineStr">
        <is>
          <t>Rabobank</t>
        </is>
      </c>
      <c r="B34" s="22" t="n">
        <v>0.5659999999999999</v>
      </c>
      <c r="C34" s="22" t="n">
        <v>0.742</v>
      </c>
      <c r="D34" s="22" t="n">
        <v>0.743</v>
      </c>
      <c r="E34" s="20" t="inlineStr">
        <is>
          <t>+0.176</t>
        </is>
      </c>
      <c r="F34" s="20" t="inlineStr">
        <is>
          <t>[+0.166,+0.188]</t>
        </is>
      </c>
    </row>
    <row r="36">
      <c r="A36" s="18" t="inlineStr">
        <is>
          <t>Single-field predictive power - component vs person identity (E5)</t>
        </is>
      </c>
      <c r="B36" s="19" t="n"/>
      <c r="C36" s="19" t="n"/>
      <c r="D36" s="19" t="n"/>
      <c r="E36" s="19" t="n"/>
      <c r="F36" s="19" t="n"/>
    </row>
    <row r="37">
      <c r="A37" s="6" t="inlineStr">
        <is>
          <t>field</t>
        </is>
      </c>
      <c r="B37" s="6" t="inlineStr">
        <is>
          <t>organisation</t>
        </is>
      </c>
      <c r="C37" s="6" t="inlineStr">
        <is>
          <t>cardinality</t>
        </is>
      </c>
      <c r="D37" s="6" t="inlineStr">
        <is>
          <t>single-field AUC</t>
        </is>
      </c>
      <c r="E37" s="6" t="inlineStr">
        <is>
          <t>identifies</t>
        </is>
      </c>
      <c r="F37" s="6" t="inlineStr"/>
    </row>
    <row r="38">
      <c r="A38" s="20" t="inlineStr">
        <is>
          <t>product</t>
        </is>
      </c>
      <c r="B38" s="20" t="inlineStr">
        <is>
          <t>VolvoIT</t>
        </is>
      </c>
      <c r="C38" s="20" t="n">
        <v>615</v>
      </c>
      <c r="D38" s="22" t="n">
        <v>0.743</v>
      </c>
      <c r="E38" s="20" t="inlineStr">
        <is>
          <t>component</t>
        </is>
      </c>
      <c r="F38" s="20" t="inlineStr"/>
    </row>
    <row r="39">
      <c r="A39" s="20" t="inlineStr">
        <is>
          <t>CI Name (aff)</t>
        </is>
      </c>
      <c r="B39" s="20" t="inlineStr">
        <is>
          <t>Rabobank</t>
        </is>
      </c>
      <c r="C39" s="20" t="n">
        <v>2633</v>
      </c>
      <c r="D39" s="22" t="n">
        <v>0.731</v>
      </c>
      <c r="E39" s="20" t="inlineStr">
        <is>
          <t>component</t>
        </is>
      </c>
      <c r="F39" s="20" t="inlineStr"/>
    </row>
    <row r="40">
      <c r="A40" s="20" t="inlineStr">
        <is>
          <t>Service Component WBS</t>
        </is>
      </c>
      <c r="B40" s="20" t="inlineStr">
        <is>
          <t>Rabobank</t>
        </is>
      </c>
      <c r="C40" s="20" t="n">
        <v>259</v>
      </c>
      <c r="D40" s="22" t="n">
        <v>0.712</v>
      </c>
      <c r="E40" s="20" t="inlineStr">
        <is>
          <t>component</t>
        </is>
      </c>
      <c r="F40" s="20" t="inlineStr"/>
    </row>
    <row r="41">
      <c r="A41" s="20" t="inlineStr">
        <is>
          <t>category</t>
        </is>
      </c>
      <c r="B41" s="20" t="inlineStr">
        <is>
          <t>ServiceNow-IT</t>
        </is>
      </c>
      <c r="C41" s="20" t="n">
        <v>43</v>
      </c>
      <c r="D41" s="22" t="n">
        <v>0.619</v>
      </c>
      <c r="E41" s="20" t="inlineStr">
        <is>
          <t>coarse service</t>
        </is>
      </c>
      <c r="F41" s="20" t="inlineStr"/>
    </row>
    <row r="42">
      <c r="A42" s="20" t="inlineStr">
        <is>
          <t>subcategory</t>
        </is>
      </c>
      <c r="B42" s="20" t="inlineStr">
        <is>
          <t>ServiceNow-IT</t>
        </is>
      </c>
      <c r="C42" s="20" t="n">
        <v>210</v>
      </c>
      <c r="D42" s="22" t="n">
        <v>0.615</v>
      </c>
      <c r="E42" s="20" t="inlineStr">
        <is>
          <t>coarse service</t>
        </is>
      </c>
      <c r="F42" s="20" t="inlineStr"/>
    </row>
    <row r="43">
      <c r="A43" s="20" t="inlineStr">
        <is>
          <t>opened_by</t>
        </is>
      </c>
      <c r="B43" s="20" t="inlineStr">
        <is>
          <t>ServiceNow-IT</t>
        </is>
      </c>
      <c r="C43" s="20" t="n">
        <v>151</v>
      </c>
      <c r="D43" s="22" t="n">
        <v>0.539</v>
      </c>
      <c r="E43" s="20" t="inlineStr">
        <is>
          <t>person</t>
        </is>
      </c>
      <c r="F43" s="20" t="inlineStr"/>
    </row>
    <row r="44">
      <c r="A44" s="20" t="inlineStr">
        <is>
          <t>caller_id</t>
        </is>
      </c>
      <c r="B44" s="20" t="inlineStr">
        <is>
          <t>ServiceNow-IT</t>
        </is>
      </c>
      <c r="C44" s="20" t="n">
        <v>4526</v>
      </c>
      <c r="D44" s="22" t="n">
        <v>0.518</v>
      </c>
      <c r="E44" s="20" t="inlineStr">
        <is>
          <t>person</t>
        </is>
      </c>
      <c r="F44" s="20" t="inlineStr"/>
    </row>
    <row r="45">
      <c r="A45" s="20" t="inlineStr">
        <is>
          <t>cmdb_ci</t>
        </is>
      </c>
      <c r="B45" s="20" t="inlineStr">
        <is>
          <t>ServiceNow-IT</t>
        </is>
      </c>
      <c r="C45" s="20" t="n">
        <v>40</v>
      </c>
      <c r="D45" s="22" t="n">
        <v>0.5</v>
      </c>
      <c r="E45" s="20" t="inlineStr">
        <is>
          <t>component (0.2% populated)</t>
        </is>
      </c>
      <c r="F45" s="20" t="inlineStr"/>
    </row>
    <row r="47">
      <c r="A47" s="18" t="inlineStr">
        <is>
          <t>Cost of misrouting (E4)</t>
        </is>
      </c>
      <c r="B47" s="19" t="n"/>
      <c r="C47" s="19" t="n"/>
      <c r="D47" s="19" t="n"/>
      <c r="E47" s="19" t="n"/>
      <c r="F47" s="19" t="n"/>
    </row>
    <row r="48">
      <c r="A48" s="6" t="inlineStr">
        <is>
          <t>organisation</t>
        </is>
      </c>
      <c r="B48" s="6" t="inlineStr">
        <is>
          <t>measure</t>
        </is>
      </c>
      <c r="C48" s="6" t="inlineStr">
        <is>
          <t>value</t>
        </is>
      </c>
      <c r="D48" s="6" t="inlineStr">
        <is>
          <t>unit</t>
        </is>
      </c>
      <c r="E48" s="6" t="inlineStr"/>
      <c r="F48" s="6" t="inlineStr"/>
    </row>
    <row r="49">
      <c r="A49" s="20" t="inlineStr">
        <is>
          <t>ServiceNow-IT</t>
        </is>
      </c>
      <c r="B49" s="20" t="inlineStr">
        <is>
          <t>SLA breach, 0 reassignments</t>
        </is>
      </c>
      <c r="C49" s="20" t="n">
        <v>0.216</v>
      </c>
      <c r="D49" s="20" t="inlineStr"/>
      <c r="E49" s="20" t="inlineStr"/>
      <c r="F49" s="20" t="inlineStr"/>
    </row>
    <row r="50">
      <c r="A50" s="20" t="inlineStr">
        <is>
          <t>ServiceNow-IT</t>
        </is>
      </c>
      <c r="B50" s="20" t="inlineStr">
        <is>
          <t>SLA breach, 5+ reassignments</t>
        </is>
      </c>
      <c r="C50" s="20" t="n">
        <v>0.857</v>
      </c>
      <c r="D50" s="20" t="inlineStr"/>
      <c r="E50" s="20" t="inlineStr"/>
      <c r="F50" s="20" t="inlineStr"/>
    </row>
    <row r="51">
      <c r="A51" s="20" t="inlineStr">
        <is>
          <t>Rabobank</t>
        </is>
      </c>
      <c r="B51" s="20" t="inlineStr">
        <is>
          <t>median handling, routed correctly</t>
        </is>
      </c>
      <c r="C51" s="20" t="n">
        <v>1.7</v>
      </c>
      <c r="D51" s="20" t="inlineStr">
        <is>
          <t>hours</t>
        </is>
      </c>
      <c r="E51" s="20" t="inlineStr"/>
      <c r="F51" s="20" t="inlineStr"/>
    </row>
    <row r="52">
      <c r="A52" s="20" t="inlineStr">
        <is>
          <t>Rabobank</t>
        </is>
      </c>
      <c r="B52" s="20" t="inlineStr">
        <is>
          <t>median handling, later reassigned</t>
        </is>
      </c>
      <c r="C52" s="20" t="n">
        <v>15.3</v>
      </c>
      <c r="D52" s="20" t="inlineStr">
        <is>
          <t>hours</t>
        </is>
      </c>
      <c r="E52" s="20" t="inlineStr"/>
      <c r="F52" s="20" t="inlineStr"/>
    </row>
    <row r="53">
      <c r="A53" s="20" t="inlineStr">
        <is>
          <t>Rabobank</t>
        </is>
      </c>
      <c r="B53" s="20" t="inlineStr">
        <is>
          <t>excess per misroute</t>
        </is>
      </c>
      <c r="C53" s="20" t="n">
        <v>13.6</v>
      </c>
      <c r="D53" s="20" t="inlineStr">
        <is>
          <t>hours</t>
        </is>
      </c>
      <c r="E53" s="20" t="inlineStr"/>
      <c r="F53" s="20" t="inlineStr"/>
    </row>
    <row r="54">
      <c r="A54" s="20" t="inlineStr">
        <is>
          <t>Rabobank</t>
        </is>
      </c>
      <c r="B54" s="20" t="inlineStr">
        <is>
          <t>review queue precision at 5% capacity, no CMDB</t>
        </is>
      </c>
      <c r="C54" s="20" t="n">
        <v>0.531</v>
      </c>
      <c r="D54" s="20" t="inlineStr"/>
      <c r="E54" s="20" t="inlineStr"/>
      <c r="F54" s="20" t="inlineStr"/>
    </row>
    <row r="55">
      <c r="A55" s="20" t="inlineStr">
        <is>
          <t>Rabobank</t>
        </is>
      </c>
      <c r="B55" s="20" t="inlineStr">
        <is>
          <t>review queue precision at 5% capacity, with CMDB</t>
        </is>
      </c>
      <c r="C55" s="20" t="n">
        <v>0.913</v>
      </c>
      <c r="D55" s="20" t="inlineStr"/>
      <c r="E55" s="20" t="inlineStr"/>
      <c r="F55" s="20" t="inlineStr"/>
    </row>
    <row r="57">
      <c r="A57" s="18" t="inlineStr">
        <is>
          <t>Robustness (E8) - Rabobank configuration delta</t>
        </is>
      </c>
      <c r="B57" s="19" t="n"/>
      <c r="C57" s="19" t="n"/>
      <c r="D57" s="19" t="n"/>
      <c r="E57" s="19" t="n"/>
      <c r="F57" s="19" t="n"/>
    </row>
    <row r="58">
      <c r="A58" s="6" t="inlineStr">
        <is>
          <t>scope</t>
        </is>
      </c>
      <c r="B58" s="6" t="inlineStr">
        <is>
          <t>statistic</t>
        </is>
      </c>
      <c r="C58" s="6" t="inlineStr">
        <is>
          <t>value</t>
        </is>
      </c>
      <c r="D58" s="6" t="inlineStr"/>
      <c r="E58" s="6" t="inlineStr"/>
      <c r="F58" s="6" t="inlineStr"/>
    </row>
    <row r="59">
      <c r="A59" s="20" t="inlineStr">
        <is>
          <t>across 3 learners x 4 temporal splits</t>
        </is>
      </c>
      <c r="B59" s="20" t="inlineStr">
        <is>
          <t>min</t>
        </is>
      </c>
      <c r="C59" s="22" t="n">
        <v>0.176</v>
      </c>
      <c r="D59" s="20" t="inlineStr"/>
      <c r="E59" s="20" t="inlineStr"/>
      <c r="F59" s="20" t="inlineStr"/>
    </row>
    <row r="60">
      <c r="A60" s="20" t="inlineStr"/>
      <c r="B60" s="20" t="inlineStr">
        <is>
          <t>median</t>
        </is>
      </c>
      <c r="C60" s="22" t="n">
        <v>0.19</v>
      </c>
      <c r="D60" s="20" t="inlineStr"/>
      <c r="E60" s="20" t="inlineStr"/>
      <c r="F60" s="20" t="inlineStr"/>
    </row>
    <row r="61">
      <c r="A61" s="20" t="inlineStr"/>
      <c r="B61" s="20" t="inlineStr">
        <is>
          <t>max</t>
        </is>
      </c>
      <c r="C61" s="22" t="n">
        <v>0.21</v>
      </c>
      <c r="D61" s="20" t="inlineStr"/>
      <c r="E61" s="20" t="inlineStr"/>
      <c r="F61" s="20" t="inlineStr"/>
    </row>
    <row r="62">
      <c r="A62" s="20" t="inlineStr"/>
      <c r="B62" s="20" t="inlineStr">
        <is>
          <t>positive in</t>
        </is>
      </c>
      <c r="C62" s="22" t="inlineStr">
        <is>
          <t>12 of 12</t>
        </is>
      </c>
      <c r="D62" s="20" t="inlineStr"/>
      <c r="E62" s="20" t="inlineStr"/>
      <c r="F62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2026-08-19T03:53:45Z</dcterms:created>
  <dcterms:modified xmlns:dcterms="http://purl.org/dc/terms/" xmlns:xsi="http://www.w3.org/2001/XMLSchema-instance" xsi:type="dcterms:W3CDTF">2026-08-19T03:53:45Z</dcterms:modified>
</cp:coreProperties>
</file>